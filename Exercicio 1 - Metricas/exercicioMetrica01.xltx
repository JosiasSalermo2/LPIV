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ilha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<sst xmlns="http://schemas.openxmlformats.org/spreadsheetml/2006/main" count="76" uniqueCount="29">
  <si>
    <t xml:space="preserve">Classes</t>
  </si>
  <si>
    <t xml:space="preserve">wmc</t>
  </si>
  <si>
    <t xml:space="preserve">DIT</t>
  </si>
  <si>
    <t xml:space="preserve">NOC</t>
  </si>
  <si>
    <t xml:space="preserve">CBO</t>
  </si>
  <si>
    <t xml:space="preserve">CS</t>
  </si>
  <si>
    <t xml:space="preserve">NOO</t>
  </si>
  <si>
    <t xml:space="preserve">NOA</t>
  </si>
  <si>
    <t xml:space="preserve">Soma</t>
  </si>
  <si>
    <t xml:space="preserve">Padronização</t>
  </si>
  <si>
    <t xml:space="preserve">Gerente</t>
  </si>
  <si>
    <t xml:space="preserve">Emprestimo</t>
  </si>
  <si>
    <t xml:space="preserve">Prestação</t>
  </si>
  <si>
    <t xml:space="preserve">Agência</t>
  </si>
  <si>
    <t xml:space="preserve">Cliente</t>
  </si>
  <si>
    <t xml:space="preserve">Conta</t>
  </si>
  <si>
    <t xml:space="preserve">Movimento</t>
  </si>
  <si>
    <t xml:space="preserve">Conta Poupança</t>
  </si>
  <si>
    <t xml:space="preserve">ContaCorrenteEspecial</t>
  </si>
  <si>
    <t xml:space="preserve">Conta Corrente</t>
  </si>
  <si>
    <t xml:space="preserve">Conta Corrente Normal</t>
  </si>
  <si>
    <t xml:space="preserve">Cartão</t>
  </si>
  <si>
    <t xml:space="preserve">Talão Cheque</t>
  </si>
  <si>
    <t xml:space="preserve">Pessoa</t>
  </si>
  <si>
    <t xml:space="preserve">Funcionario</t>
  </si>
  <si>
    <t xml:space="preserve">Média</t>
  </si>
  <si>
    <t xml:space="preserve">Desvio Padrão</t>
  </si>
  <si>
    <t xml:space="preserve">Mínimo</t>
  </si>
  <si>
    <t xml:space="preserve">Máximo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</si>
</sst>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39"/>
  <sheetViews>
    <sheetView showFormulas="false" showGridLines="true" showRowColHeaders="true" showZeros="true" rightToLeft="false" tabSelected="true" showOutlineSymbols="true" defaultGridColor="true" view="normal" topLeftCell="H16" colorId="64" zoomScale="100" zoomScaleNormal="100" zoomScalePageLayoutView="100" workbookViewId="0">
      <selection pane="topLeft" activeCell="S25" activeCellId="0" sqref="S25:S39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1" min="1" style="1" width="20.07"/>
    <col collapsed="false" customWidth="true" hidden="false" outlineLevel="0" max="2" min="2" style="0" width="15.99"/>
    <col collapsed="false" customWidth="true" hidden="false" outlineLevel="0" max="11" min="11" style="1" width="20.07"/>
    <col collapsed="false" customWidth="true" hidden="false" outlineLevel="0" max="12" min="12" style="0" width="19.2"/>
    <col collapsed="false" customWidth="true" hidden="false" outlineLevel="0" max="13" min="13" style="0" width="19.06"/>
    <col collapsed="false" customWidth="true" hidden="false" outlineLevel="0" max="14" min="14" style="0" width="18.26"/>
  </cols>
  <sheetData>
    <row r="1" customFormat="false" ht="12.8" hidden="false" customHeight="tru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/>
      <c r="K1" s="2" t="s">
        <v>9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2" t="s">
        <v>7</v>
      </c>
      <c r="S1" s="2" t="s">
        <v>8</v>
      </c>
    </row>
    <row r="2" customFormat="false" ht="12.8" hidden="false" customHeight="true" outlineLevel="0" collapsed="false">
      <c r="A2" s="3" t="s">
        <v>10</v>
      </c>
      <c r="B2" s="1" t="n">
        <v>5</v>
      </c>
      <c r="C2" s="1" t="n">
        <v>1</v>
      </c>
      <c r="D2" s="1" t="n">
        <v>0</v>
      </c>
      <c r="E2" s="1" t="n">
        <v>2</v>
      </c>
      <c r="F2" s="1" t="n">
        <v>6</v>
      </c>
      <c r="G2" s="1" t="n">
        <v>0</v>
      </c>
      <c r="H2" s="1" t="n">
        <v>5</v>
      </c>
      <c r="I2" s="1" t="n">
        <f aca="false">SUM(B2:H2)</f>
        <v>19</v>
      </c>
      <c r="K2" s="3" t="s">
        <v>10</v>
      </c>
      <c r="L2" s="0" t="n">
        <f aca="false">STANDARDIZE(B2,B19,B20)</f>
        <v>0.881917103688197</v>
      </c>
      <c r="M2" s="0" t="n">
        <f aca="false">STANDARDIZE(C2,$C$19,$C$20)</f>
        <v>0.833410849107961</v>
      </c>
      <c r="N2" s="0" t="n">
        <f aca="false">STANDARDIZE(D2,$D$19,$D$20)</f>
        <v>-0.516397779494322</v>
      </c>
      <c r="O2" s="0" t="n">
        <f aca="false">STANDARDIZE(E2,$E$19,$E$20)</f>
        <v>1.35922352263154</v>
      </c>
      <c r="P2" s="0" t="n">
        <f aca="false">STANDARDIZE(F2,$F$19,$F$20)</f>
        <v>-0.427711777965956</v>
      </c>
      <c r="Q2" s="0" t="n">
        <f aca="false">STANDARDIZE(G2,$G$19,$G$20)</f>
        <v>-0.582575265003535</v>
      </c>
      <c r="R2" s="0" t="n">
        <f aca="false">STANDARDIZE(H2,$H$19,$H$20)</f>
        <v>2.30030918943354</v>
      </c>
      <c r="S2" s="0" t="n">
        <f aca="false">STANDARDIZE(I2,$I$19,$I$20)</f>
        <v>0.657689576090557</v>
      </c>
    </row>
    <row r="3" customFormat="false" ht="12.8" hidden="false" customHeight="true" outlineLevel="0" collapsed="false">
      <c r="A3" s="3" t="s">
        <v>11</v>
      </c>
      <c r="B3" s="1" t="n">
        <v>5</v>
      </c>
      <c r="C3" s="1" t="n">
        <v>0</v>
      </c>
      <c r="D3" s="1" t="n">
        <v>0</v>
      </c>
      <c r="E3" s="1" t="n">
        <v>1</v>
      </c>
      <c r="F3" s="1" t="n">
        <v>10</v>
      </c>
      <c r="G3" s="1" t="n">
        <v>0</v>
      </c>
      <c r="H3" s="1" t="n">
        <v>0</v>
      </c>
      <c r="I3" s="1" t="n">
        <f aca="false">SUM(B3:H3)</f>
        <v>16</v>
      </c>
      <c r="K3" s="3" t="s">
        <v>11</v>
      </c>
      <c r="L3" s="0" t="n">
        <f aca="false">STANDARDIZE(B3,B19,B20)</f>
        <v>0.881917103688197</v>
      </c>
      <c r="M3" s="0" t="n">
        <f aca="false">STANDARDIZE(C3,$C$19,$C$20)</f>
        <v>-0.729234492969466</v>
      </c>
      <c r="N3" s="0" t="n">
        <f aca="false">STANDARDIZE(D3,$D$19,$D$20)</f>
        <v>-0.516397779494322</v>
      </c>
      <c r="O3" s="0" t="n">
        <f aca="false">STANDARDIZE(E3,$E$19,$E$20)</f>
        <v>0.159908649721357</v>
      </c>
      <c r="P3" s="0" t="n">
        <f aca="false">STANDARDIZE(F3,$F$19,$F$20)</f>
        <v>0.349946000153964</v>
      </c>
      <c r="Q3" s="0" t="n">
        <f aca="false">STANDARDIZE(G3,$G$19,$G$20)</f>
        <v>-0.582575265003535</v>
      </c>
      <c r="R3" s="0" t="n">
        <f aca="false">STANDARDIZE(H3,$H$19,$H$20)</f>
        <v>-0.623812661541299</v>
      </c>
      <c r="S3" s="0" t="n">
        <f aca="false">STANDARDIZE(I3,$I$19,$I$20)</f>
        <v>0.215957771253616</v>
      </c>
    </row>
    <row r="4" customFormat="false" ht="12.8" hidden="false" customHeight="true" outlineLevel="0" collapsed="false">
      <c r="A4" s="3" t="s">
        <v>12</v>
      </c>
      <c r="B4" s="1" t="n">
        <v>5</v>
      </c>
      <c r="C4" s="1" t="n">
        <v>0</v>
      </c>
      <c r="D4" s="1" t="n">
        <v>0</v>
      </c>
      <c r="E4" s="1" t="n">
        <v>0</v>
      </c>
      <c r="F4" s="1" t="n">
        <v>19</v>
      </c>
      <c r="G4" s="1" t="n">
        <v>1</v>
      </c>
      <c r="H4" s="1" t="n">
        <v>4</v>
      </c>
      <c r="I4" s="1" t="n">
        <f aca="false">SUM(B4:H4)</f>
        <v>29</v>
      </c>
      <c r="K4" s="3" t="s">
        <v>12</v>
      </c>
      <c r="L4" s="0" t="n">
        <f aca="false">STANDARDIZE(B4,B19,B20)</f>
        <v>0.881917103688197</v>
      </c>
      <c r="M4" s="0" t="n">
        <f aca="false">STANDARDIZE(C4,$C$19,$C$20)</f>
        <v>-0.729234492969466</v>
      </c>
      <c r="N4" s="0" t="n">
        <f aca="false">STANDARDIZE(D4,$D$19,$D$20)</f>
        <v>-0.516397779494322</v>
      </c>
      <c r="O4" s="0" t="n">
        <f aca="false">STANDARDIZE(E4,$E$19,$E$20)</f>
        <v>-1.03940622318882</v>
      </c>
      <c r="P4" s="0" t="n">
        <f aca="false">STANDARDIZE(F4,$F$19,$F$20)</f>
        <v>2.09967600092378</v>
      </c>
      <c r="Q4" s="0" t="n">
        <f aca="false">STANDARDIZE(G4,$G$19,$G$20)</f>
        <v>1.60208197875972</v>
      </c>
      <c r="R4" s="0" t="n">
        <f aca="false">STANDARDIZE(H4,$H$19,$H$20)</f>
        <v>1.71548481923857</v>
      </c>
      <c r="S4" s="0" t="n">
        <f aca="false">STANDARDIZE(I4,$I$19,$I$20)</f>
        <v>2.13012892554703</v>
      </c>
    </row>
    <row r="5" customFormat="false" ht="12.8" hidden="false" customHeight="false" outlineLevel="0" collapsed="false">
      <c r="A5" s="3" t="s">
        <v>13</v>
      </c>
      <c r="B5" s="1" t="n">
        <v>2</v>
      </c>
      <c r="C5" s="1" t="n">
        <v>0</v>
      </c>
      <c r="D5" s="1" t="n">
        <v>0</v>
      </c>
      <c r="E5" s="1" t="n">
        <v>2</v>
      </c>
      <c r="F5" s="1" t="n">
        <v>6</v>
      </c>
      <c r="G5" s="1" t="n">
        <v>0</v>
      </c>
      <c r="H5" s="1" t="n">
        <v>0</v>
      </c>
      <c r="I5" s="1" t="n">
        <f aca="false">SUM(B5:H5)</f>
        <v>10</v>
      </c>
      <c r="K5" s="3" t="s">
        <v>13</v>
      </c>
      <c r="L5" s="0" t="n">
        <f aca="false">STANDARDIZE(B5,$B$19,$B$20)</f>
        <v>-0.440958551844098</v>
      </c>
      <c r="M5" s="0" t="n">
        <f aca="false">STANDARDIZE(C5,$C$19,$C$20)</f>
        <v>-0.729234492969466</v>
      </c>
      <c r="N5" s="0" t="n">
        <f aca="false">STANDARDIZE(D5,$D$19,$D$20)</f>
        <v>-0.516397779494322</v>
      </c>
      <c r="O5" s="0" t="n">
        <f aca="false">STANDARDIZE(E5,$E$19,$E$20)</f>
        <v>1.35922352263154</v>
      </c>
      <c r="P5" s="0" t="n">
        <f aca="false">STANDARDIZE(F5,$F$19,$F$20)</f>
        <v>-0.427711777965956</v>
      </c>
      <c r="Q5" s="0" t="n">
        <f aca="false">STANDARDIZE(G5,$G$19,$G$20)</f>
        <v>-0.582575265003535</v>
      </c>
      <c r="R5" s="0" t="n">
        <f aca="false">STANDARDIZE(H5,$H$19,$H$20)</f>
        <v>-0.623812661541299</v>
      </c>
      <c r="S5" s="0" t="n">
        <f aca="false">STANDARDIZE(I5,$I$19,$I$20)</f>
        <v>-0.667505838420266</v>
      </c>
    </row>
    <row r="6" customFormat="false" ht="12.8" hidden="false" customHeight="false" outlineLevel="0" collapsed="false">
      <c r="A6" s="3" t="s">
        <v>14</v>
      </c>
      <c r="B6" s="1" t="n">
        <v>3</v>
      </c>
      <c r="C6" s="1" t="n">
        <v>0</v>
      </c>
      <c r="D6" s="1" t="n">
        <v>0</v>
      </c>
      <c r="E6" s="1" t="n">
        <v>2</v>
      </c>
      <c r="F6" s="1" t="n">
        <v>2</v>
      </c>
      <c r="G6" s="1" t="n">
        <v>0</v>
      </c>
      <c r="H6" s="1" t="n">
        <v>3</v>
      </c>
      <c r="I6" s="1" t="n">
        <f aca="false">SUM(B6:H6)</f>
        <v>10</v>
      </c>
      <c r="K6" s="3" t="s">
        <v>14</v>
      </c>
      <c r="L6" s="0" t="n">
        <f aca="false">STANDARDIZE(B6,$B$19,$B$20)</f>
        <v>0</v>
      </c>
      <c r="M6" s="0" t="n">
        <f aca="false">STANDARDIZE(C6,$C$19,$C$20)</f>
        <v>-0.729234492969466</v>
      </c>
      <c r="N6" s="0" t="n">
        <f aca="false">STANDARDIZE(D6,$D$19,$D$20)</f>
        <v>-0.516397779494322</v>
      </c>
      <c r="O6" s="0" t="n">
        <f aca="false">STANDARDIZE(E6,$E$19,$E$20)</f>
        <v>1.35922352263154</v>
      </c>
      <c r="P6" s="0" t="n">
        <f aca="false">STANDARDIZE(F6,$F$19,$F$20)</f>
        <v>-1.20536955608588</v>
      </c>
      <c r="Q6" s="0" t="n">
        <f aca="false">STANDARDIZE(G6,$G$19,$G$20)</f>
        <v>-0.582575265003535</v>
      </c>
      <c r="R6" s="0" t="n">
        <f aca="false">STANDARDIZE(H6,$H$19,$H$20)</f>
        <v>1.13066044904361</v>
      </c>
      <c r="S6" s="0" t="n">
        <f aca="false">STANDARDIZE(I6,$I$19,$I$20)</f>
        <v>-0.667505838420266</v>
      </c>
    </row>
    <row r="7" customFormat="false" ht="12.8" hidden="false" customHeight="false" outlineLevel="0" collapsed="false">
      <c r="A7" s="3" t="s">
        <v>15</v>
      </c>
      <c r="B7" s="1" t="n">
        <v>9</v>
      </c>
      <c r="C7" s="1" t="n">
        <v>0</v>
      </c>
      <c r="D7" s="1" t="n">
        <v>4</v>
      </c>
      <c r="E7" s="1" t="n">
        <v>2</v>
      </c>
      <c r="F7" s="1" t="n">
        <v>9</v>
      </c>
      <c r="G7" s="1" t="n">
        <v>0</v>
      </c>
      <c r="H7" s="1" t="n">
        <v>0</v>
      </c>
      <c r="I7" s="1" t="n">
        <f aca="false">SUM(B7:H7)</f>
        <v>24</v>
      </c>
      <c r="K7" s="3" t="s">
        <v>15</v>
      </c>
      <c r="L7" s="0" t="n">
        <f aca="false">STANDARDIZE(B7,$B$19,$B$20)</f>
        <v>2.64575131106459</v>
      </c>
      <c r="M7" s="0" t="n">
        <f aca="false">STANDARDIZE(C7,$C$19,$C$20)</f>
        <v>-0.729234492969466</v>
      </c>
      <c r="N7" s="0" t="n">
        <f aca="false">STANDARDIZE(D7,$D$19,$D$20)</f>
        <v>2.58198889747161</v>
      </c>
      <c r="O7" s="0" t="n">
        <f aca="false">STANDARDIZE(E7,$E$19,$E$20)</f>
        <v>1.35922352263154</v>
      </c>
      <c r="P7" s="0" t="n">
        <f aca="false">STANDARDIZE(F7,$F$19,$F$20)</f>
        <v>0.155531555623984</v>
      </c>
      <c r="Q7" s="0" t="n">
        <f aca="false">STANDARDIZE(G7,$G$19,$G$20)</f>
        <v>-0.582575265003535</v>
      </c>
      <c r="R7" s="0" t="n">
        <f aca="false">STANDARDIZE(H7,$H$19,$H$20)</f>
        <v>-0.623812661541299</v>
      </c>
      <c r="S7" s="0" t="n">
        <f aca="false">STANDARDIZE(I7,$I$19,$I$20)</f>
        <v>1.39390925081879</v>
      </c>
    </row>
    <row r="8" customFormat="false" ht="12.8" hidden="false" customHeight="false" outlineLevel="0" collapsed="false">
      <c r="A8" s="3" t="s">
        <v>16</v>
      </c>
      <c r="B8" s="1" t="n">
        <v>2</v>
      </c>
      <c r="C8" s="1" t="n">
        <v>0</v>
      </c>
      <c r="D8" s="1" t="n">
        <v>0</v>
      </c>
      <c r="E8" s="1" t="n">
        <v>0</v>
      </c>
      <c r="F8" s="1" t="n">
        <v>6</v>
      </c>
      <c r="G8" s="1" t="n">
        <v>0</v>
      </c>
      <c r="H8" s="1" t="n">
        <v>2</v>
      </c>
      <c r="I8" s="1" t="n">
        <f aca="false">SUM(B8:H8)</f>
        <v>10</v>
      </c>
      <c r="K8" s="3" t="s">
        <v>16</v>
      </c>
      <c r="L8" s="0" t="n">
        <f aca="false">STANDARDIZE(B8,$B$19,$B$20)</f>
        <v>-0.440958551844098</v>
      </c>
      <c r="M8" s="0" t="n">
        <f aca="false">STANDARDIZE(C8,$C$19,$C$20)</f>
        <v>-0.729234492969466</v>
      </c>
      <c r="N8" s="0" t="n">
        <f aca="false">STANDARDIZE(D8,$D$19,$D$20)</f>
        <v>-0.516397779494322</v>
      </c>
      <c r="O8" s="0" t="n">
        <f aca="false">STANDARDIZE(E8,$E$19,$E$20)</f>
        <v>-1.03940622318882</v>
      </c>
      <c r="P8" s="0" t="n">
        <f aca="false">STANDARDIZE(F8,$F$19,$F$20)</f>
        <v>-0.427711777965956</v>
      </c>
      <c r="Q8" s="0" t="n">
        <f aca="false">STANDARDIZE(G8,$G$19,$G$20)</f>
        <v>-0.582575265003535</v>
      </c>
      <c r="R8" s="0" t="n">
        <f aca="false">STANDARDIZE(H8,$H$19,$H$20)</f>
        <v>0.545836078848637</v>
      </c>
      <c r="S8" s="0" t="n">
        <f aca="false">STANDARDIZE(I8,$I$19,$I$20)</f>
        <v>-0.667505838420266</v>
      </c>
    </row>
    <row r="9" customFormat="false" ht="12.8" hidden="false" customHeight="false" outlineLevel="0" collapsed="false">
      <c r="A9" s="3" t="s">
        <v>17</v>
      </c>
      <c r="B9" s="1" t="n">
        <v>1</v>
      </c>
      <c r="C9" s="1" t="n">
        <v>1</v>
      </c>
      <c r="D9" s="1" t="n">
        <v>0</v>
      </c>
      <c r="E9" s="1" t="n">
        <v>0</v>
      </c>
      <c r="F9" s="1" t="n">
        <v>10</v>
      </c>
      <c r="G9" s="1" t="n">
        <v>1</v>
      </c>
      <c r="H9" s="1" t="n">
        <v>0</v>
      </c>
      <c r="I9" s="1" t="n">
        <f aca="false">SUM(B9:H9)</f>
        <v>13</v>
      </c>
      <c r="K9" s="3" t="s">
        <v>17</v>
      </c>
      <c r="L9" s="0" t="n">
        <f aca="false">STANDARDIZE(B9,$B$19,$B$20)</f>
        <v>-0.881917103688197</v>
      </c>
      <c r="M9" s="0" t="n">
        <f aca="false">STANDARDIZE(C9,$C$19,$C$20)</f>
        <v>0.833410849107961</v>
      </c>
      <c r="N9" s="0" t="n">
        <f aca="false">STANDARDIZE(D9,$D$19,$D$20)</f>
        <v>-0.516397779494322</v>
      </c>
      <c r="O9" s="0" t="n">
        <f aca="false">STANDARDIZE(E9,$E$19,$E$20)</f>
        <v>-1.03940622318882</v>
      </c>
      <c r="P9" s="0" t="n">
        <f aca="false">STANDARDIZE(F9,$F$19,$F$20)</f>
        <v>0.349946000153964</v>
      </c>
      <c r="Q9" s="0" t="n">
        <f aca="false">STANDARDIZE(G9,$G$19,$G$20)</f>
        <v>1.60208197875972</v>
      </c>
      <c r="R9" s="0" t="n">
        <f aca="false">STANDARDIZE(H9,$H$19,$H$20)</f>
        <v>-0.623812661541299</v>
      </c>
      <c r="S9" s="0" t="n">
        <f aca="false">STANDARDIZE(I9,$I$19,$I$20)</f>
        <v>-0.225774033583325</v>
      </c>
    </row>
    <row r="10" customFormat="false" ht="12.8" hidden="false" customHeight="false" outlineLevel="0" collapsed="false">
      <c r="A10" s="3" t="s">
        <v>18</v>
      </c>
      <c r="B10" s="1" t="n">
        <v>3</v>
      </c>
      <c r="C10" s="1" t="n">
        <v>1</v>
      </c>
      <c r="D10" s="1" t="n">
        <v>0</v>
      </c>
      <c r="E10" s="1" t="n">
        <v>0</v>
      </c>
      <c r="F10" s="1" t="n">
        <v>17</v>
      </c>
      <c r="G10" s="1" t="n">
        <v>0</v>
      </c>
      <c r="H10" s="1" t="n">
        <v>2</v>
      </c>
      <c r="I10" s="1" t="n">
        <f aca="false">SUM(B10:H10)</f>
        <v>23</v>
      </c>
      <c r="K10" s="3" t="s">
        <v>18</v>
      </c>
      <c r="L10" s="0" t="n">
        <f aca="false">STANDARDIZE(B10,$B$19,$B$20)</f>
        <v>0</v>
      </c>
      <c r="M10" s="0" t="n">
        <f aca="false">STANDARDIZE(C10,$C$19,$C$20)</f>
        <v>0.833410849107961</v>
      </c>
      <c r="N10" s="0" t="n">
        <f aca="false">STANDARDIZE(D10,$D$19,$D$20)</f>
        <v>-0.516397779494322</v>
      </c>
      <c r="O10" s="0" t="n">
        <f aca="false">STANDARDIZE(E10,$E$19,$E$20)</f>
        <v>-1.03940622318882</v>
      </c>
      <c r="P10" s="0" t="n">
        <f aca="false">STANDARDIZE(F10,$F$19,$F$20)</f>
        <v>1.71084711186382</v>
      </c>
      <c r="Q10" s="0" t="n">
        <f aca="false">STANDARDIZE(G10,$G$19,$G$20)</f>
        <v>-0.582575265003535</v>
      </c>
      <c r="R10" s="0" t="n">
        <f aca="false">STANDARDIZE(H10,$H$19,$H$20)</f>
        <v>0.545836078848637</v>
      </c>
      <c r="S10" s="0" t="n">
        <f aca="false">STANDARDIZE(I10,$I$19,$I$20)</f>
        <v>1.24666531587314</v>
      </c>
    </row>
    <row r="11" customFormat="false" ht="12.8" hidden="false" customHeight="false" outlineLevel="0" collapsed="false">
      <c r="A11" s="3" t="s">
        <v>19</v>
      </c>
      <c r="B11" s="1" t="n">
        <v>1</v>
      </c>
      <c r="C11" s="1" t="n">
        <v>1</v>
      </c>
      <c r="D11" s="1" t="n">
        <v>2</v>
      </c>
      <c r="E11" s="1" t="n">
        <v>1</v>
      </c>
      <c r="F11" s="1" t="n">
        <v>13</v>
      </c>
      <c r="G11" s="1" t="n">
        <v>0</v>
      </c>
      <c r="H11" s="1" t="n">
        <v>0</v>
      </c>
      <c r="I11" s="1" t="n">
        <f aca="false">SUM(B11:H11)</f>
        <v>18</v>
      </c>
      <c r="K11" s="3" t="s">
        <v>19</v>
      </c>
      <c r="L11" s="0" t="n">
        <f aca="false">STANDARDIZE(B11,$B$19,$B$20)</f>
        <v>-0.881917103688197</v>
      </c>
      <c r="M11" s="0" t="n">
        <f aca="false">STANDARDIZE(C11,$C$19,$C$20)</f>
        <v>0.833410849107961</v>
      </c>
      <c r="N11" s="0" t="n">
        <f aca="false">STANDARDIZE(D11,$D$19,$D$20)</f>
        <v>1.03279555898864</v>
      </c>
      <c r="O11" s="0" t="n">
        <f aca="false">STANDARDIZE(E11,$E$19,$E$20)</f>
        <v>0.159908649721357</v>
      </c>
      <c r="P11" s="0" t="n">
        <f aca="false">STANDARDIZE(F11,$F$19,$F$20)</f>
        <v>0.933189333743904</v>
      </c>
      <c r="Q11" s="0" t="n">
        <f aca="false">STANDARDIZE(G11,$G$19,$G$20)</f>
        <v>-0.582575265003535</v>
      </c>
      <c r="R11" s="0" t="n">
        <f aca="false">STANDARDIZE(H11,$H$19,$H$20)</f>
        <v>-0.623812661541299</v>
      </c>
      <c r="S11" s="0" t="n">
        <f aca="false">STANDARDIZE(I11,$I$19,$I$20)</f>
        <v>0.51044564114491</v>
      </c>
    </row>
    <row r="12" customFormat="false" ht="12.8" hidden="false" customHeight="false" outlineLevel="0" collapsed="false">
      <c r="A12" s="3" t="s">
        <v>20</v>
      </c>
      <c r="B12" s="1" t="n">
        <v>1</v>
      </c>
      <c r="C12" s="1" t="n">
        <v>2</v>
      </c>
      <c r="D12" s="1" t="n">
        <v>0</v>
      </c>
      <c r="E12" s="1" t="n">
        <v>0</v>
      </c>
      <c r="F12" s="1" t="n">
        <v>1</v>
      </c>
      <c r="G12" s="1" t="n">
        <v>1</v>
      </c>
      <c r="H12" s="1" t="n">
        <v>0</v>
      </c>
      <c r="I12" s="1" t="n">
        <f aca="false">SUM(B12:H12)</f>
        <v>5</v>
      </c>
      <c r="K12" s="3" t="s">
        <v>20</v>
      </c>
      <c r="L12" s="0" t="n">
        <f aca="false">STANDARDIZE(B12,$B$19,$B$20)</f>
        <v>-0.881917103688197</v>
      </c>
      <c r="M12" s="0" t="n">
        <f aca="false">STANDARDIZE(C12,$C$19,$C$20)</f>
        <v>2.39605619118539</v>
      </c>
      <c r="N12" s="0" t="n">
        <f aca="false">STANDARDIZE(D12,$D$19,$D$20)</f>
        <v>-0.516397779494322</v>
      </c>
      <c r="O12" s="0" t="n">
        <f aca="false">STANDARDIZE(E12,$E$19,$E$20)</f>
        <v>-1.03940622318882</v>
      </c>
      <c r="P12" s="0" t="n">
        <f aca="false">STANDARDIZE(F12,$F$19,$F$20)</f>
        <v>-1.39978400061586</v>
      </c>
      <c r="Q12" s="0" t="n">
        <f aca="false">STANDARDIZE(G12,$G$19,$G$20)</f>
        <v>1.60208197875972</v>
      </c>
      <c r="R12" s="0" t="n">
        <f aca="false">STANDARDIZE(H12,$H$19,$H$20)</f>
        <v>-0.623812661541299</v>
      </c>
      <c r="S12" s="0" t="n">
        <f aca="false">STANDARDIZE(I12,$I$19,$I$20)</f>
        <v>-1.4037255131485</v>
      </c>
    </row>
    <row r="13" customFormat="false" ht="12.8" hidden="false" customHeight="false" outlineLevel="0" collapsed="false">
      <c r="A13" s="3" t="s">
        <v>21</v>
      </c>
      <c r="B13" s="1" t="n">
        <v>3</v>
      </c>
      <c r="C13" s="1" t="n">
        <v>0</v>
      </c>
      <c r="D13" s="1" t="n">
        <v>0</v>
      </c>
      <c r="E13" s="1" t="n">
        <v>1</v>
      </c>
      <c r="F13" s="1" t="n">
        <v>5</v>
      </c>
      <c r="G13" s="1" t="n">
        <v>1</v>
      </c>
      <c r="H13" s="1" t="n">
        <v>0</v>
      </c>
      <c r="I13" s="1" t="n">
        <f aca="false">SUM(B13:H13)</f>
        <v>10</v>
      </c>
      <c r="K13" s="3" t="s">
        <v>21</v>
      </c>
      <c r="L13" s="0" t="n">
        <f aca="false">STANDARDIZE(B13,$B$19,$B$20)</f>
        <v>0</v>
      </c>
      <c r="M13" s="0" t="n">
        <f aca="false">STANDARDIZE(C13,$C$19,$C$20)</f>
        <v>-0.729234492969466</v>
      </c>
      <c r="N13" s="0" t="n">
        <f aca="false">STANDARDIZE(D13,$D$19,$D$20)</f>
        <v>-0.516397779494322</v>
      </c>
      <c r="O13" s="0" t="n">
        <f aca="false">STANDARDIZE(E13,$E$19,$E$20)</f>
        <v>0.159908649721357</v>
      </c>
      <c r="P13" s="0" t="n">
        <f aca="false">STANDARDIZE(F13,$F$19,$F$20)</f>
        <v>-0.622126222495936</v>
      </c>
      <c r="Q13" s="0" t="n">
        <f aca="false">STANDARDIZE(G13,$G$19,$G$20)</f>
        <v>1.60208197875972</v>
      </c>
      <c r="R13" s="0" t="n">
        <f aca="false">STANDARDIZE(H13,$H$19,$H$20)</f>
        <v>-0.623812661541299</v>
      </c>
      <c r="S13" s="0" t="n">
        <f aca="false">STANDARDIZE(I13,$I$19,$I$20)</f>
        <v>-0.667505838420266</v>
      </c>
    </row>
    <row r="14" customFormat="false" ht="12.8" hidden="false" customHeight="false" outlineLevel="0" collapsed="false">
      <c r="A14" s="3" t="s">
        <v>22</v>
      </c>
      <c r="B14" s="1" t="n">
        <v>2</v>
      </c>
      <c r="C14" s="1" t="n">
        <v>0</v>
      </c>
      <c r="D14" s="1" t="n">
        <v>0</v>
      </c>
      <c r="E14" s="1" t="n">
        <v>1</v>
      </c>
      <c r="F14" s="1" t="n">
        <v>5</v>
      </c>
      <c r="G14" s="1" t="n">
        <v>0</v>
      </c>
      <c r="H14" s="1" t="n">
        <v>0</v>
      </c>
      <c r="I14" s="1" t="n">
        <f aca="false">SUM(B14:H14)</f>
        <v>8</v>
      </c>
      <c r="K14" s="3" t="s">
        <v>22</v>
      </c>
      <c r="L14" s="0" t="n">
        <f aca="false">STANDARDIZE(B14,$B$19,$B$20)</f>
        <v>-0.440958551844098</v>
      </c>
      <c r="M14" s="0" t="n">
        <f aca="false">STANDARDIZE(C14,$C$19,$C$20)</f>
        <v>-0.729234492969466</v>
      </c>
      <c r="N14" s="0" t="n">
        <f aca="false">STANDARDIZE(D14,$D$19,$D$20)</f>
        <v>-0.516397779494322</v>
      </c>
      <c r="O14" s="0" t="n">
        <f aca="false">STANDARDIZE(E14,$E$19,$E$20)</f>
        <v>0.159908649721357</v>
      </c>
      <c r="P14" s="0" t="n">
        <f aca="false">STANDARDIZE(F14,$F$19,$F$20)</f>
        <v>-0.622126222495936</v>
      </c>
      <c r="Q14" s="0" t="n">
        <f aca="false">STANDARDIZE(G14,$G$19,$G$20)</f>
        <v>-0.582575265003535</v>
      </c>
      <c r="R14" s="0" t="n">
        <f aca="false">STANDARDIZE(H14,$H$19,$H$20)</f>
        <v>-0.623812661541299</v>
      </c>
      <c r="S14" s="0" t="n">
        <f aca="false">STANDARDIZE(I14,$I$19,$I$20)</f>
        <v>-0.96199370831156</v>
      </c>
    </row>
    <row r="15" customFormat="false" ht="12.8" hidden="false" customHeight="false" outlineLevel="0" collapsed="false">
      <c r="A15" s="3" t="s">
        <v>23</v>
      </c>
      <c r="B15" s="1" t="n">
        <v>0</v>
      </c>
      <c r="C15" s="1" t="n">
        <v>0</v>
      </c>
      <c r="D15" s="1" t="n">
        <v>3</v>
      </c>
      <c r="E15" s="1" t="n">
        <v>0</v>
      </c>
      <c r="F15" s="1" t="n">
        <v>10</v>
      </c>
      <c r="G15" s="1" t="n">
        <v>0</v>
      </c>
      <c r="H15" s="1" t="n">
        <v>0</v>
      </c>
      <c r="I15" s="1" t="n">
        <f aca="false">SUM(B15:H15)</f>
        <v>13</v>
      </c>
      <c r="K15" s="3" t="s">
        <v>23</v>
      </c>
      <c r="L15" s="0" t="n">
        <f aca="false">STANDARDIZE(B15,$B$19,$B$20)</f>
        <v>-1.3228756555323</v>
      </c>
      <c r="M15" s="0" t="n">
        <f aca="false">STANDARDIZE(C15,$C$19,$C$20)</f>
        <v>-0.729234492969466</v>
      </c>
      <c r="N15" s="0" t="n">
        <f aca="false">STANDARDIZE(D15,$D$19,$D$20)</f>
        <v>1.80739222823013</v>
      </c>
      <c r="O15" s="0" t="n">
        <f aca="false">STANDARDIZE(E15,$E$19,$E$20)</f>
        <v>-1.03940622318882</v>
      </c>
      <c r="P15" s="0" t="n">
        <f aca="false">STANDARDIZE(F15,$F$19,$F$20)</f>
        <v>0.349946000153964</v>
      </c>
      <c r="Q15" s="0" t="n">
        <f aca="false">STANDARDIZE(G15,$G$19,$G$20)</f>
        <v>-0.582575265003535</v>
      </c>
      <c r="R15" s="0" t="n">
        <f aca="false">STANDARDIZE(H15,$H$19,$H$20)</f>
        <v>-0.623812661541299</v>
      </c>
      <c r="S15" s="0" t="n">
        <f aca="false">STANDARDIZE(I15,$I$19,$I$20)</f>
        <v>-0.225774033583325</v>
      </c>
    </row>
    <row r="16" customFormat="false" ht="12.8" hidden="false" customHeight="false" outlineLevel="0" collapsed="false">
      <c r="A16" s="3" t="s">
        <v>24</v>
      </c>
      <c r="B16" s="1" t="n">
        <v>3</v>
      </c>
      <c r="C16" s="1" t="n">
        <v>1</v>
      </c>
      <c r="D16" s="1" t="n">
        <v>1</v>
      </c>
      <c r="E16" s="1" t="n">
        <v>1</v>
      </c>
      <c r="F16" s="1" t="n">
        <v>4</v>
      </c>
      <c r="G16" s="1" t="n">
        <v>0</v>
      </c>
      <c r="H16" s="1" t="n">
        <v>0</v>
      </c>
      <c r="I16" s="1" t="n">
        <f aca="false">SUM(B16:H16)</f>
        <v>10</v>
      </c>
      <c r="K16" s="3" t="s">
        <v>24</v>
      </c>
      <c r="L16" s="0" t="n">
        <f aca="false">STANDARDIZE(B16,$B$19,$B$20)</f>
        <v>0</v>
      </c>
      <c r="M16" s="0" t="n">
        <f aca="false">STANDARDIZE(C16,$C$19,$C$20)</f>
        <v>0.833410849107961</v>
      </c>
      <c r="N16" s="0" t="n">
        <f aca="false">STANDARDIZE(D16,$D$19,$D$20)</f>
        <v>0.258198889747161</v>
      </c>
      <c r="O16" s="0" t="n">
        <f aca="false">STANDARDIZE(E16,$E$19,$E$20)</f>
        <v>0.159908649721357</v>
      </c>
      <c r="P16" s="0" t="n">
        <f aca="false">STANDARDIZE(F16,$F$19,$F$20)</f>
        <v>-0.816540667025916</v>
      </c>
      <c r="Q16" s="0" t="n">
        <f aca="false">STANDARDIZE(G16,$G$19,$G$20)</f>
        <v>-0.582575265003535</v>
      </c>
      <c r="R16" s="0" t="n">
        <f aca="false">STANDARDIZE(H16,$H$19,$H$20)</f>
        <v>-0.623812661541299</v>
      </c>
      <c r="S16" s="0" t="n">
        <f aca="false">STANDARDIZE(I16,$I$19,$I$20)</f>
        <v>-0.667505838420266</v>
      </c>
    </row>
    <row r="17" customFormat="false" ht="12.8" hidden="false" customHeight="false" outlineLevel="0" collapsed="false"/>
    <row r="18" customFormat="false" ht="12.8" hidden="false" customHeight="false" outlineLevel="0" collapsed="false">
      <c r="A18" s="0"/>
      <c r="K18" s="0"/>
    </row>
    <row r="19" customFormat="false" ht="12.8" hidden="false" customHeight="false" outlineLevel="0" collapsed="false">
      <c r="A19" s="2" t="s">
        <v>25</v>
      </c>
      <c r="B19" s="0" t="n">
        <f aca="false">AVERAGE(B2:B16)</f>
        <v>3</v>
      </c>
      <c r="C19" s="0" t="n">
        <f aca="false">AVERAGE(C2:C16)</f>
        <v>0.466666666666667</v>
      </c>
      <c r="D19" s="0" t="n">
        <f aca="false">AVERAGE(D2:D16)</f>
        <v>0.666666666666667</v>
      </c>
      <c r="E19" s="0" t="n">
        <f aca="false">AVERAGE(E2:E16)</f>
        <v>0.866666666666667</v>
      </c>
      <c r="F19" s="0" t="n">
        <f aca="false">AVERAGE(F2:F16)</f>
        <v>8.2</v>
      </c>
      <c r="G19" s="0" t="n">
        <f aca="false">AVERAGE(G2:G16)</f>
        <v>0.266666666666667</v>
      </c>
      <c r="H19" s="0" t="n">
        <f aca="false">AVERAGE(H2:H16)</f>
        <v>1.06666666666667</v>
      </c>
      <c r="I19" s="0" t="n">
        <f aca="false">AVERAGE(I2:I16)</f>
        <v>14.5333333333333</v>
      </c>
      <c r="K19" s="0"/>
    </row>
    <row r="20" customFormat="false" ht="12.8" hidden="false" customHeight="true" outlineLevel="0" collapsed="false">
      <c r="A20" s="2" t="s">
        <v>26</v>
      </c>
      <c r="B20" s="0" t="n">
        <f aca="false">STDEV(B2:B16)</f>
        <v>2.26778683805536</v>
      </c>
      <c r="C20" s="0" t="n">
        <f aca="false">STDEV(C2:C16)</f>
        <v>0.639940473422184</v>
      </c>
      <c r="D20" s="0" t="n">
        <f aca="false">STDEV(D2:D16)</f>
        <v>1.29099444873581</v>
      </c>
      <c r="E20" s="0" t="n">
        <f aca="false">STDEV(E2:E16)</f>
        <v>0.833809387832792</v>
      </c>
      <c r="F20" s="0" t="n">
        <f aca="false">STDEV(F2:F16)</f>
        <v>5.14365073242176</v>
      </c>
      <c r="G20" s="0" t="n">
        <f aca="false">STDEV(G2:G16)</f>
        <v>0.457737708217064</v>
      </c>
      <c r="H20" s="0" t="n">
        <f aca="false">STDEV(H2:H16)</f>
        <v>1.70991506333196</v>
      </c>
      <c r="I20" s="0" t="n">
        <f aca="false">STDEV(I2:I16)</f>
        <v>6.79145120896922</v>
      </c>
      <c r="K20" s="0"/>
    </row>
    <row r="22" customFormat="false" ht="12.8" hidden="false" customHeight="true" outlineLevel="0" collapsed="false">
      <c r="A22" s="2" t="s">
        <v>27</v>
      </c>
      <c r="B22" s="0" t="n">
        <f aca="false">MIN(B2:B16)</f>
        <v>0</v>
      </c>
      <c r="C22" s="0" t="n">
        <f aca="false">MIN(C2:C16)</f>
        <v>0</v>
      </c>
      <c r="D22" s="0" t="n">
        <f aca="false">MIN(D2:D16)</f>
        <v>0</v>
      </c>
      <c r="E22" s="0" t="n">
        <f aca="false">MIN(E2:E16)</f>
        <v>0</v>
      </c>
      <c r="F22" s="0" t="n">
        <f aca="false">MIN(F2:F16)</f>
        <v>1</v>
      </c>
      <c r="G22" s="0" t="n">
        <f aca="false">MIN(G2:G16)</f>
        <v>0</v>
      </c>
      <c r="H22" s="0" t="n">
        <f aca="false">MIN(H2:H16)</f>
        <v>0</v>
      </c>
      <c r="I22" s="0" t="n">
        <f aca="false">MIN(I2:I16)</f>
        <v>5</v>
      </c>
    </row>
    <row r="23" customFormat="false" ht="12.8" hidden="false" customHeight="true" outlineLevel="0" collapsed="false">
      <c r="A23" s="2" t="s">
        <v>28</v>
      </c>
      <c r="B23" s="0" t="n">
        <f aca="false">MAX(B2:B16)</f>
        <v>9</v>
      </c>
      <c r="C23" s="0" t="n">
        <f aca="false">MAX(C2:C16)</f>
        <v>2</v>
      </c>
      <c r="D23" s="0" t="n">
        <f aca="false">MAX(D2:D16)</f>
        <v>4</v>
      </c>
      <c r="E23" s="0" t="n">
        <f aca="false">MAX(E2:E16)</f>
        <v>2</v>
      </c>
      <c r="F23" s="0" t="n">
        <f aca="false">MAX(F2:F16)</f>
        <v>19</v>
      </c>
      <c r="G23" s="0" t="n">
        <f aca="false">MAX(G2:G16)</f>
        <v>1</v>
      </c>
      <c r="H23" s="0" t="n">
        <f aca="false">MAX(H2:H16)</f>
        <v>5</v>
      </c>
      <c r="I23" s="0" t="n">
        <f aca="false">MAX(I2:I16)</f>
        <v>29</v>
      </c>
    </row>
    <row r="24" customFormat="false" ht="12.8" hidden="false" customHeight="true" outlineLevel="0" collapsed="false">
      <c r="K24" s="2" t="s">
        <v>9</v>
      </c>
      <c r="L24" s="2" t="s">
        <v>1</v>
      </c>
      <c r="M24" s="2" t="s">
        <v>2</v>
      </c>
      <c r="N24" s="2" t="s">
        <v>3</v>
      </c>
      <c r="O24" s="2" t="s">
        <v>4</v>
      </c>
      <c r="P24" s="2" t="s">
        <v>5</v>
      </c>
      <c r="Q24" s="2" t="s">
        <v>6</v>
      </c>
      <c r="R24" s="2" t="s">
        <v>7</v>
      </c>
      <c r="S24" s="2" t="s">
        <v>8</v>
      </c>
    </row>
    <row r="25" customFormat="false" ht="12.8" hidden="false" customHeight="true" outlineLevel="0" collapsed="false">
      <c r="K25" s="3" t="s">
        <v>10</v>
      </c>
      <c r="L25" s="0" t="n">
        <f aca="false">(B2-B$22)/($B$23-$B$22)</f>
        <v>0.555555555555556</v>
      </c>
      <c r="M25" s="0" t="n">
        <f aca="false">(C2-C$22)/($B$23-$B$22)</f>
        <v>0.111111111111111</v>
      </c>
      <c r="N25" s="0" t="n">
        <f aca="false">(D2-D$22)/($B$23-$B$22)</f>
        <v>0</v>
      </c>
      <c r="O25" s="0" t="n">
        <f aca="false">(E2-E$22)/($B$23-$B$22)</f>
        <v>0.222222222222222</v>
      </c>
      <c r="P25" s="0" t="n">
        <f aca="false">(F2-F$22)/($B$23-$B$22)</f>
        <v>0.555555555555556</v>
      </c>
      <c r="Q25" s="0" t="n">
        <f aca="false">(G2-G$22)/($B$23-$B$22)</f>
        <v>0</v>
      </c>
      <c r="R25" s="0" t="n">
        <f aca="false">(H2-H$22)/($B$23-$B$22)</f>
        <v>0.555555555555556</v>
      </c>
      <c r="S25" s="0" t="n">
        <f aca="false">SUM(L25:R25)</f>
        <v>2</v>
      </c>
    </row>
    <row r="26" customFormat="false" ht="12.8" hidden="false" customHeight="true" outlineLevel="0" collapsed="false">
      <c r="K26" s="3" t="s">
        <v>11</v>
      </c>
      <c r="L26" s="0" t="n">
        <f aca="false">(B3-B$22)/($B$23-$B$22)</f>
        <v>0.555555555555556</v>
      </c>
      <c r="M26" s="0" t="n">
        <f aca="false">(C3-C$22)/($B$23-$B$22)</f>
        <v>0</v>
      </c>
      <c r="N26" s="0" t="n">
        <f aca="false">(D3-D$22)/($B$23-$B$22)</f>
        <v>0</v>
      </c>
      <c r="O26" s="0" t="n">
        <f aca="false">(E3-E$22)/($B$23-$B$22)</f>
        <v>0.111111111111111</v>
      </c>
      <c r="P26" s="0" t="n">
        <f aca="false">(F3-F$22)/($B$23-$B$22)</f>
        <v>1</v>
      </c>
      <c r="Q26" s="0" t="n">
        <f aca="false">(G3-G$22)/($B$23-$B$22)</f>
        <v>0</v>
      </c>
      <c r="R26" s="0" t="n">
        <f aca="false">(H3-H$22)/($B$23-$B$22)</f>
        <v>0</v>
      </c>
      <c r="S26" s="0" t="n">
        <f aca="false">SUM(L26:R26)</f>
        <v>1.66666666666667</v>
      </c>
    </row>
    <row r="27" customFormat="false" ht="12.8" hidden="false" customHeight="true" outlineLevel="0" collapsed="false">
      <c r="K27" s="3" t="s">
        <v>12</v>
      </c>
      <c r="L27" s="0" t="n">
        <f aca="false">(B4-B$22)/($B$23-$B$22)</f>
        <v>0.555555555555556</v>
      </c>
      <c r="M27" s="0" t="n">
        <f aca="false">(C4-C$22)/($B$23-$B$22)</f>
        <v>0</v>
      </c>
      <c r="N27" s="0" t="n">
        <f aca="false">(D4-D$22)/($B$23-$B$22)</f>
        <v>0</v>
      </c>
      <c r="O27" s="0" t="n">
        <f aca="false">(E4-E$22)/($B$23-$B$22)</f>
        <v>0</v>
      </c>
      <c r="P27" s="0" t="n">
        <f aca="false">(F4-F$22)/($B$23-$B$22)</f>
        <v>2</v>
      </c>
      <c r="Q27" s="0" t="n">
        <f aca="false">(G4-G$22)/($B$23-$B$22)</f>
        <v>0.111111111111111</v>
      </c>
      <c r="R27" s="0" t="n">
        <f aca="false">(H4-H$22)/($B$23-$B$22)</f>
        <v>0.444444444444444</v>
      </c>
      <c r="S27" s="0" t="n">
        <f aca="false">SUM(L27:R27)</f>
        <v>3.11111111111111</v>
      </c>
    </row>
    <row r="28" customFormat="false" ht="12.8" hidden="false" customHeight="true" outlineLevel="0" collapsed="false">
      <c r="K28" s="3" t="s">
        <v>13</v>
      </c>
      <c r="L28" s="0" t="n">
        <f aca="false">(B5-B$22)/($B$23-$B$22)</f>
        <v>0.222222222222222</v>
      </c>
      <c r="M28" s="0" t="n">
        <f aca="false">(C5-C$22)/($B$23-$B$22)</f>
        <v>0</v>
      </c>
      <c r="N28" s="0" t="n">
        <f aca="false">(D5-D$22)/($B$23-$B$22)</f>
        <v>0</v>
      </c>
      <c r="O28" s="0" t="n">
        <f aca="false">(E5-E$22)/($B$23-$B$22)</f>
        <v>0.222222222222222</v>
      </c>
      <c r="P28" s="0" t="n">
        <f aca="false">(F5-F$22)/($B$23-$B$22)</f>
        <v>0.555555555555556</v>
      </c>
      <c r="Q28" s="0" t="n">
        <f aca="false">(G5-G$22)/($B$23-$B$22)</f>
        <v>0</v>
      </c>
      <c r="R28" s="0" t="n">
        <f aca="false">(H5-H$22)/($B$23-$B$22)</f>
        <v>0</v>
      </c>
      <c r="S28" s="0" t="n">
        <f aca="false">SUM(L28:R28)</f>
        <v>1</v>
      </c>
    </row>
    <row r="29" customFormat="false" ht="12.8" hidden="false" customHeight="true" outlineLevel="0" collapsed="false">
      <c r="K29" s="3" t="s">
        <v>14</v>
      </c>
      <c r="L29" s="0" t="n">
        <f aca="false">(B6-B$22)/($B$23-$B$22)</f>
        <v>0.333333333333333</v>
      </c>
      <c r="M29" s="0" t="n">
        <f aca="false">(C6-C$22)/($B$23-$B$22)</f>
        <v>0</v>
      </c>
      <c r="N29" s="0" t="n">
        <f aca="false">(D6-D$22)/($B$23-$B$22)</f>
        <v>0</v>
      </c>
      <c r="O29" s="0" t="n">
        <f aca="false">(E6-E$22)/($B$23-$B$22)</f>
        <v>0.222222222222222</v>
      </c>
      <c r="P29" s="0" t="n">
        <f aca="false">(F6-F$22)/($B$23-$B$22)</f>
        <v>0.111111111111111</v>
      </c>
      <c r="Q29" s="0" t="n">
        <f aca="false">(G6-G$22)/($B$23-$B$22)</f>
        <v>0</v>
      </c>
      <c r="R29" s="0" t="n">
        <f aca="false">(H6-H$22)/($B$23-$B$22)</f>
        <v>0.333333333333333</v>
      </c>
      <c r="S29" s="0" t="n">
        <f aca="false">SUM(L29:R29)</f>
        <v>1</v>
      </c>
    </row>
    <row r="30" customFormat="false" ht="12.8" hidden="false" customHeight="true" outlineLevel="0" collapsed="false">
      <c r="K30" s="3" t="s">
        <v>15</v>
      </c>
      <c r="L30" s="0" t="n">
        <f aca="false">(B7-B$22)/($B$23-$B$22)</f>
        <v>1</v>
      </c>
      <c r="M30" s="0" t="n">
        <f aca="false">(C7-C$22)/($B$23-$B$22)</f>
        <v>0</v>
      </c>
      <c r="N30" s="0" t="n">
        <f aca="false">(D7-D$22)/($B$23-$B$22)</f>
        <v>0.444444444444444</v>
      </c>
      <c r="O30" s="0" t="n">
        <f aca="false">(E7-E$22)/($B$23-$B$22)</f>
        <v>0.222222222222222</v>
      </c>
      <c r="P30" s="0" t="n">
        <f aca="false">(F7-F$22)/($B$23-$B$22)</f>
        <v>0.888888888888889</v>
      </c>
      <c r="Q30" s="0" t="n">
        <f aca="false">(G7-G$22)/($B$23-$B$22)</f>
        <v>0</v>
      </c>
      <c r="R30" s="0" t="n">
        <f aca="false">(H7-H$22)/($B$23-$B$22)</f>
        <v>0</v>
      </c>
      <c r="S30" s="0" t="n">
        <f aca="false">SUM(L30:R30)</f>
        <v>2.55555555555556</v>
      </c>
    </row>
    <row r="31" customFormat="false" ht="12.8" hidden="false" customHeight="true" outlineLevel="0" collapsed="false">
      <c r="K31" s="3" t="s">
        <v>16</v>
      </c>
      <c r="L31" s="0" t="n">
        <f aca="false">(B8-B$22)/($B$23-$B$22)</f>
        <v>0.222222222222222</v>
      </c>
      <c r="M31" s="0" t="n">
        <f aca="false">(C8-C$22)/($B$23-$B$22)</f>
        <v>0</v>
      </c>
      <c r="N31" s="0" t="n">
        <f aca="false">(D8-D$22)/($B$23-$B$22)</f>
        <v>0</v>
      </c>
      <c r="O31" s="0" t="n">
        <f aca="false">(E8-E$22)/($B$23-$B$22)</f>
        <v>0</v>
      </c>
      <c r="P31" s="0" t="n">
        <f aca="false">(F8-F$22)/($B$23-$B$22)</f>
        <v>0.555555555555556</v>
      </c>
      <c r="Q31" s="0" t="n">
        <f aca="false">(G8-G$22)/($B$23-$B$22)</f>
        <v>0</v>
      </c>
      <c r="R31" s="0" t="n">
        <f aca="false">(H8-H$22)/($B$23-$B$22)</f>
        <v>0.222222222222222</v>
      </c>
      <c r="S31" s="0" t="n">
        <f aca="false">SUM(L31:R31)</f>
        <v>1</v>
      </c>
    </row>
    <row r="32" customFormat="false" ht="12.8" hidden="false" customHeight="true" outlineLevel="0" collapsed="false">
      <c r="K32" s="3" t="s">
        <v>17</v>
      </c>
      <c r="L32" s="0" t="n">
        <f aca="false">(B9-B$22)/($B$23-$B$22)</f>
        <v>0.111111111111111</v>
      </c>
      <c r="M32" s="0" t="n">
        <f aca="false">(C9-C$22)/($B$23-$B$22)</f>
        <v>0.111111111111111</v>
      </c>
      <c r="N32" s="0" t="n">
        <f aca="false">(D9-D$22)/($B$23-$B$22)</f>
        <v>0</v>
      </c>
      <c r="O32" s="0" t="n">
        <f aca="false">(E9-E$22)/($B$23-$B$22)</f>
        <v>0</v>
      </c>
      <c r="P32" s="0" t="n">
        <f aca="false">(F9-F$22)/($B$23-$B$22)</f>
        <v>1</v>
      </c>
      <c r="Q32" s="0" t="n">
        <f aca="false">(G9-G$22)/($B$23-$B$22)</f>
        <v>0.111111111111111</v>
      </c>
      <c r="R32" s="0" t="n">
        <f aca="false">(H9-H$22)/($B$23-$B$22)</f>
        <v>0</v>
      </c>
      <c r="S32" s="0" t="n">
        <f aca="false">SUM(L32:R32)</f>
        <v>1.33333333333333</v>
      </c>
    </row>
    <row r="33" customFormat="false" ht="12.8" hidden="false" customHeight="true" outlineLevel="0" collapsed="false">
      <c r="K33" s="3" t="s">
        <v>18</v>
      </c>
      <c r="L33" s="0" t="n">
        <f aca="false">(B10-B$22)/($B$23-$B$22)</f>
        <v>0.333333333333333</v>
      </c>
      <c r="M33" s="0" t="n">
        <f aca="false">(C10-C$22)/($B$23-$B$22)</f>
        <v>0.111111111111111</v>
      </c>
      <c r="N33" s="0" t="n">
        <f aca="false">(D10-D$22)/($B$23-$B$22)</f>
        <v>0</v>
      </c>
      <c r="O33" s="0" t="n">
        <f aca="false">(E10-E$22)/($B$23-$B$22)</f>
        <v>0</v>
      </c>
      <c r="P33" s="0" t="n">
        <f aca="false">(F10-F$22)/($B$23-$B$22)</f>
        <v>1.77777777777778</v>
      </c>
      <c r="Q33" s="0" t="n">
        <f aca="false">(G10-G$22)/($B$23-$B$22)</f>
        <v>0</v>
      </c>
      <c r="R33" s="0" t="n">
        <f aca="false">(H10-H$22)/($B$23-$B$22)</f>
        <v>0.222222222222222</v>
      </c>
      <c r="S33" s="0" t="n">
        <f aca="false">SUM(L33:R33)</f>
        <v>2.44444444444444</v>
      </c>
    </row>
    <row r="34" customFormat="false" ht="12.8" hidden="false" customHeight="true" outlineLevel="0" collapsed="false">
      <c r="K34" s="3" t="s">
        <v>19</v>
      </c>
      <c r="L34" s="0" t="n">
        <f aca="false">(B11-B$22)/($B$23-$B$22)</f>
        <v>0.111111111111111</v>
      </c>
      <c r="M34" s="0" t="n">
        <f aca="false">(C11-C$22)/($B$23-$B$22)</f>
        <v>0.111111111111111</v>
      </c>
      <c r="N34" s="0" t="n">
        <f aca="false">(D11-D$22)/($B$23-$B$22)</f>
        <v>0.222222222222222</v>
      </c>
      <c r="O34" s="0" t="n">
        <f aca="false">(E11-E$22)/($B$23-$B$22)</f>
        <v>0.111111111111111</v>
      </c>
      <c r="P34" s="0" t="n">
        <f aca="false">(F11-F$22)/($B$23-$B$22)</f>
        <v>1.33333333333333</v>
      </c>
      <c r="Q34" s="0" t="n">
        <f aca="false">(G11-G$22)/($B$23-$B$22)</f>
        <v>0</v>
      </c>
      <c r="R34" s="0" t="n">
        <f aca="false">(H11-H$22)/($B$23-$B$22)</f>
        <v>0</v>
      </c>
      <c r="S34" s="0" t="n">
        <f aca="false">SUM(L34:R34)</f>
        <v>1.88888888888889</v>
      </c>
    </row>
    <row r="35" customFormat="false" ht="12.8" hidden="false" customHeight="true" outlineLevel="0" collapsed="false">
      <c r="K35" s="3" t="s">
        <v>20</v>
      </c>
      <c r="L35" s="0" t="n">
        <f aca="false">(B12-B$22)/($B$23-$B$22)</f>
        <v>0.111111111111111</v>
      </c>
      <c r="M35" s="0" t="n">
        <f aca="false">(C12-C$22)/($B$23-$B$22)</f>
        <v>0.222222222222222</v>
      </c>
      <c r="N35" s="0" t="n">
        <f aca="false">(D12-D$22)/($B$23-$B$22)</f>
        <v>0</v>
      </c>
      <c r="O35" s="0" t="n">
        <f aca="false">(E12-E$22)/($B$23-$B$22)</f>
        <v>0</v>
      </c>
      <c r="P35" s="0" t="n">
        <f aca="false">(F12-F$22)/($B$23-$B$22)</f>
        <v>0</v>
      </c>
      <c r="Q35" s="0" t="n">
        <f aca="false">(G12-G$22)/($B$23-$B$22)</f>
        <v>0.111111111111111</v>
      </c>
      <c r="R35" s="0" t="n">
        <f aca="false">(H12-H$22)/($B$23-$B$22)</f>
        <v>0</v>
      </c>
      <c r="S35" s="0" t="n">
        <f aca="false">SUM(L35:R35)</f>
        <v>0.444444444444444</v>
      </c>
    </row>
    <row r="36" customFormat="false" ht="12.8" hidden="false" customHeight="true" outlineLevel="0" collapsed="false">
      <c r="K36" s="3" t="s">
        <v>21</v>
      </c>
      <c r="L36" s="0" t="n">
        <f aca="false">(B13-B$22)/($B$23-$B$22)</f>
        <v>0.333333333333333</v>
      </c>
      <c r="M36" s="0" t="n">
        <f aca="false">(C13-C$22)/($B$23-$B$22)</f>
        <v>0</v>
      </c>
      <c r="N36" s="0" t="n">
        <f aca="false">(D13-D$22)/($B$23-$B$22)</f>
        <v>0</v>
      </c>
      <c r="O36" s="0" t="n">
        <f aca="false">(E13-E$22)/($B$23-$B$22)</f>
        <v>0.111111111111111</v>
      </c>
      <c r="P36" s="0" t="n">
        <f aca="false">(F13-F$22)/($B$23-$B$22)</f>
        <v>0.444444444444444</v>
      </c>
      <c r="Q36" s="0" t="n">
        <f aca="false">(G13-G$22)/($B$23-$B$22)</f>
        <v>0.111111111111111</v>
      </c>
      <c r="R36" s="0" t="n">
        <f aca="false">(H13-H$22)/($B$23-$B$22)</f>
        <v>0</v>
      </c>
      <c r="S36" s="0" t="n">
        <f aca="false">SUM(L36:R36)</f>
        <v>1</v>
      </c>
    </row>
    <row r="37" customFormat="false" ht="12.8" hidden="false" customHeight="true" outlineLevel="0" collapsed="false">
      <c r="K37" s="3" t="s">
        <v>22</v>
      </c>
      <c r="L37" s="0" t="n">
        <f aca="false">(B14-B$22)/($B$23-$B$22)</f>
        <v>0.222222222222222</v>
      </c>
      <c r="M37" s="0" t="n">
        <f aca="false">(C14-C$22)/($B$23-$B$22)</f>
        <v>0</v>
      </c>
      <c r="N37" s="0" t="n">
        <f aca="false">(D14-D$22)/($B$23-$B$22)</f>
        <v>0</v>
      </c>
      <c r="O37" s="0" t="n">
        <f aca="false">(E14-E$22)/($B$23-$B$22)</f>
        <v>0.111111111111111</v>
      </c>
      <c r="P37" s="0" t="n">
        <f aca="false">(F14-F$22)/($B$23-$B$22)</f>
        <v>0.444444444444444</v>
      </c>
      <c r="Q37" s="0" t="n">
        <f aca="false">(G14-G$22)/($B$23-$B$22)</f>
        <v>0</v>
      </c>
      <c r="R37" s="0" t="n">
        <f aca="false">(H14-H$22)/($B$23-$B$22)</f>
        <v>0</v>
      </c>
      <c r="S37" s="0" t="n">
        <f aca="false">SUM(L37:R37)</f>
        <v>0.777777777777778</v>
      </c>
    </row>
    <row r="38" customFormat="false" ht="12.8" hidden="false" customHeight="true" outlineLevel="0" collapsed="false">
      <c r="K38" s="3" t="s">
        <v>23</v>
      </c>
      <c r="L38" s="0" t="n">
        <f aca="false">(B15-B$22)/($B$23-$B$22)</f>
        <v>0</v>
      </c>
      <c r="M38" s="0" t="n">
        <f aca="false">(C15-C$22)/($B$23-$B$22)</f>
        <v>0</v>
      </c>
      <c r="N38" s="0" t="n">
        <f aca="false">(D15-D$22)/($B$23-$B$22)</f>
        <v>0.333333333333333</v>
      </c>
      <c r="O38" s="0" t="n">
        <f aca="false">(E15-E$22)/($B$23-$B$22)</f>
        <v>0</v>
      </c>
      <c r="P38" s="0" t="n">
        <f aca="false">(F15-F$22)/($B$23-$B$22)</f>
        <v>1</v>
      </c>
      <c r="Q38" s="0" t="n">
        <f aca="false">(G15-G$22)/($B$23-$B$22)</f>
        <v>0</v>
      </c>
      <c r="R38" s="0" t="n">
        <f aca="false">(H15-H$22)/($B$23-$B$22)</f>
        <v>0</v>
      </c>
      <c r="S38" s="0" t="n">
        <f aca="false">SUM(L38:R38)</f>
        <v>1.33333333333333</v>
      </c>
    </row>
    <row r="39" customFormat="false" ht="12.8" hidden="false" customHeight="true" outlineLevel="0" collapsed="false">
      <c r="K39" s="3" t="s">
        <v>24</v>
      </c>
      <c r="L39" s="0" t="n">
        <f aca="false">(B16-B$22)/($B$23-$B$22)</f>
        <v>0.333333333333333</v>
      </c>
      <c r="M39" s="0" t="n">
        <f aca="false">(C16-C$22)/($B$23-$B$22)</f>
        <v>0.111111111111111</v>
      </c>
      <c r="N39" s="0" t="n">
        <f aca="false">(D16-D$22)/($B$23-$B$22)</f>
        <v>0.111111111111111</v>
      </c>
      <c r="O39" s="0" t="n">
        <f aca="false">(E16-E$22)/($B$23-$B$22)</f>
        <v>0.111111111111111</v>
      </c>
      <c r="P39" s="0" t="n">
        <f aca="false">(F16-F$22)/($B$23-$B$22)</f>
        <v>0.333333333333333</v>
      </c>
      <c r="Q39" s="0" t="n">
        <f aca="false">(G16-G$22)/($B$23-$B$22)</f>
        <v>0</v>
      </c>
      <c r="R39" s="0" t="n">
        <f aca="false">(H16-H$22)/($B$23-$B$22)</f>
        <v>0</v>
      </c>
      <c r="S39" s="0" t="n">
        <f aca="false">SUM(L39:R39)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349</TotalTime>
  <Application>LibreOffice/25.8.1.1$Windows_X86_64 LibreOffice_project/54047653041915e595ad4e45cccea684809c77b5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2025-10-16T02:10:35Z</dcterms:created>
  <dc:creator/>
  <dc:description/>
  <dc:language>pt-BR</dc:language>
  <cp:lastModifiedBy/>
  <dcterms:modified xsi:type="dcterms:W3CDTF">2025-10-16T03:31:23Z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